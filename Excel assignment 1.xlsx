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7865ad2770ee58e/"/>
    </mc:Choice>
  </mc:AlternateContent>
  <xr:revisionPtr revIDLastSave="19" documentId="8_{67D91141-F898-485D-889A-4159A33A82FE}" xr6:coauthVersionLast="47" xr6:coauthVersionMax="47" xr10:uidLastSave="{FEEA4C08-9AAC-4FE6-94E4-3F9FC9B009F6}"/>
  <bookViews>
    <workbookView xWindow="-108" yWindow="-108" windowWidth="23256" windowHeight="12456" xr2:uid="{BF479829-1953-408D-9AD6-D9E4EA3764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61" i="1" l="1"/>
  <c r="N73" i="1"/>
  <c r="N74" i="1"/>
  <c r="N75" i="1"/>
  <c r="N76" i="1"/>
  <c r="N77" i="1"/>
  <c r="N78" i="1"/>
  <c r="N79" i="1"/>
  <c r="N80" i="1"/>
  <c r="N81" i="1"/>
  <c r="N82" i="1"/>
  <c r="N83" i="1"/>
  <c r="N84" i="1"/>
  <c r="N35" i="1"/>
  <c r="F13" i="1"/>
  <c r="I20" i="1"/>
  <c r="N36" i="1" s="1"/>
  <c r="I21" i="1"/>
  <c r="N37" i="1" s="1"/>
  <c r="I22" i="1"/>
  <c r="N38" i="1" s="1"/>
  <c r="I23" i="1"/>
  <c r="I24" i="1"/>
  <c r="N39" i="1" s="1"/>
  <c r="I25" i="1"/>
  <c r="N40" i="1" s="1"/>
  <c r="I26" i="1"/>
  <c r="I27" i="1"/>
  <c r="N41" i="1" s="1"/>
  <c r="I28" i="1"/>
  <c r="I29" i="1"/>
  <c r="N42" i="1" s="1"/>
  <c r="I30" i="1"/>
  <c r="I31" i="1"/>
  <c r="N43" i="1" s="1"/>
  <c r="I32" i="1"/>
  <c r="N44" i="1" s="1"/>
  <c r="I33" i="1"/>
  <c r="N45" i="1" s="1"/>
  <c r="I34" i="1"/>
  <c r="N46" i="1" s="1"/>
  <c r="I35" i="1"/>
  <c r="I36" i="1"/>
  <c r="N47" i="1" s="1"/>
  <c r="I37" i="1"/>
  <c r="N48" i="1" s="1"/>
  <c r="I38" i="1"/>
  <c r="N49" i="1" s="1"/>
  <c r="I39" i="1"/>
  <c r="I40" i="1"/>
  <c r="N50" i="1" s="1"/>
  <c r="I41" i="1"/>
  <c r="I42" i="1"/>
  <c r="N51" i="1" s="1"/>
  <c r="I43" i="1"/>
  <c r="N52" i="1" s="1"/>
  <c r="I44" i="1"/>
  <c r="N53" i="1" s="1"/>
  <c r="I45" i="1"/>
  <c r="I46" i="1"/>
  <c r="N54" i="1" s="1"/>
  <c r="I47" i="1"/>
  <c r="N55" i="1" s="1"/>
  <c r="I48" i="1"/>
  <c r="N56" i="1" s="1"/>
  <c r="I49" i="1"/>
  <c r="N57" i="1" s="1"/>
  <c r="I50" i="1"/>
  <c r="I51" i="1"/>
  <c r="N58" i="1" s="1"/>
  <c r="I52" i="1"/>
  <c r="N59" i="1" s="1"/>
  <c r="I53" i="1"/>
  <c r="N60" i="1" s="1"/>
  <c r="I54" i="1"/>
  <c r="I55" i="1"/>
  <c r="N62" i="1" s="1"/>
  <c r="I56" i="1"/>
  <c r="I57" i="1"/>
  <c r="N63" i="1" s="1"/>
  <c r="I58" i="1"/>
  <c r="N64" i="1" s="1"/>
  <c r="I59" i="1"/>
  <c r="N65" i="1" s="1"/>
  <c r="I60" i="1"/>
  <c r="I61" i="1"/>
  <c r="N66" i="1" s="1"/>
  <c r="I62" i="1"/>
  <c r="N67" i="1" s="1"/>
  <c r="I63" i="1"/>
  <c r="N68" i="1" s="1"/>
  <c r="I64" i="1"/>
  <c r="N69" i="1" s="1"/>
  <c r="I65" i="1"/>
  <c r="I66" i="1"/>
  <c r="N70" i="1" s="1"/>
  <c r="I67" i="1"/>
  <c r="N71" i="1" s="1"/>
  <c r="I68" i="1"/>
  <c r="N72" i="1" s="1"/>
  <c r="M25" i="1" l="1"/>
  <c r="M30" i="1"/>
  <c r="M22" i="1"/>
  <c r="M27" i="1"/>
  <c r="M32" i="1"/>
  <c r="M20" i="1"/>
</calcChain>
</file>

<file path=xl/sharedStrings.xml><?xml version="1.0" encoding="utf-8"?>
<sst xmlns="http://schemas.openxmlformats.org/spreadsheetml/2006/main" count="187" uniqueCount="95">
  <si>
    <t>Ans.</t>
  </si>
  <si>
    <t>Vehicles</t>
  </si>
  <si>
    <t>Auto- Rickshaw</t>
  </si>
  <si>
    <t>Prices</t>
  </si>
  <si>
    <t>car</t>
  </si>
  <si>
    <r>
      <rPr>
        <b/>
        <sz val="11"/>
        <color theme="1"/>
        <rFont val="Calibri"/>
        <family val="2"/>
        <scheme val="minor"/>
      </rPr>
      <t xml:space="preserve">Using  the data below, write aformula to calculate the average sales of items priced above 100 and less than </t>
    </r>
    <r>
      <rPr>
        <sz val="11"/>
        <color theme="1"/>
        <rFont val="Calibri"/>
        <family val="2"/>
        <scheme val="minor"/>
      </rPr>
      <t>300.</t>
    </r>
  </si>
  <si>
    <t>Item</t>
  </si>
  <si>
    <t>Price</t>
  </si>
  <si>
    <t>Sales</t>
  </si>
  <si>
    <t>A</t>
  </si>
  <si>
    <t>B</t>
  </si>
  <si>
    <t>C</t>
  </si>
  <si>
    <t xml:space="preserve">   </t>
  </si>
  <si>
    <t>OrderID</t>
  </si>
  <si>
    <t>CustomerName</t>
  </si>
  <si>
    <t>Region</t>
  </si>
  <si>
    <t>Product</t>
  </si>
  <si>
    <t>Quantity</t>
  </si>
  <si>
    <t>UnitPrice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</si>
  <si>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</si>
  <si>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</si>
  <si>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</si>
  <si>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</si>
  <si>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</si>
  <si>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</si>
  <si>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</si>
  <si>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</si>
  <si>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</si>
  <si>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</si>
  <si>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</si>
  <si>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</si>
  <si>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</si>
  <si>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</si>
  <si>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</si>
  <si>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</si>
  <si>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Meera Nair</t>
  </si>
  <si>
    <t>Anjali Rao</t>
  </si>
  <si>
    <t>Manoj Das</t>
  </si>
  <si>
    <t>Ritika Sen</t>
  </si>
  <si>
    <t>Karan Malhotra</t>
  </si>
  <si>
    <t>Aryan Joshi</t>
  </si>
  <si>
    <t>Divya Kapoor</t>
  </si>
  <si>
    <t>Sahil Arora</t>
  </si>
  <si>
    <t>Muskan Jain</t>
  </si>
  <si>
    <t>Rohan Gupta</t>
  </si>
  <si>
    <t>Nidhi Sharma</t>
  </si>
  <si>
    <t>Tarun Verma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</si>
  <si>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</si>
  <si>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</si>
  <si>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</si>
  <si>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</si>
  <si>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</si>
  <si>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</si>
  <si>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</si>
  <si>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</si>
  <si>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</si>
  <si>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</si>
  <si>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</si>
  <si>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Harsh Yadav</t>
  </si>
  <si>
    <t>Kajal Rani</t>
  </si>
  <si>
    <t>Varun Sharma</t>
  </si>
  <si>
    <t>Swati Arora</t>
  </si>
  <si>
    <t>Akhil Jain</t>
  </si>
  <si>
    <t>Priyanka Das</t>
  </si>
  <si>
    <t>Ravi Nair</t>
  </si>
  <si>
    <t>Komal Singh</t>
  </si>
  <si>
    <t>Ayesha Khan</t>
  </si>
  <si>
    <t>Arjun Mehta</t>
  </si>
  <si>
    <t>Sonali Gupta</t>
  </si>
  <si>
    <t>Neeraj Kapoor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</si>
  <si>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</si>
  <si>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</si>
  <si>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</si>
  <si>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</si>
  <si>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</si>
  <si>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</si>
  <si>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</si>
  <si>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</si>
  <si>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orderr date</t>
  </si>
  <si>
    <t>Total sales</t>
  </si>
  <si>
    <t>Total costumers recorded are 50</t>
  </si>
  <si>
    <r>
      <rPr>
        <b/>
        <sz val="11"/>
        <color theme="1"/>
        <rFont val="Calibri"/>
        <family val="2"/>
        <scheme val="minor"/>
      </rPr>
      <t>Ans</t>
    </r>
    <r>
      <rPr>
        <sz val="11"/>
        <color theme="1"/>
        <rFont val="Calibri"/>
        <family val="2"/>
        <scheme val="minor"/>
      </rPr>
      <t>.</t>
    </r>
  </si>
  <si>
    <t>Question n o.6 Calculate the total sales of Notebook in North region only.</t>
  </si>
  <si>
    <r>
      <rPr>
        <b/>
        <sz val="11"/>
        <color theme="1"/>
        <rFont val="Calibri"/>
        <family val="2"/>
        <scheme val="minor"/>
      </rPr>
      <t>Question no.4 Count how many Costumer names are recored</t>
    </r>
    <r>
      <rPr>
        <sz val="11"/>
        <color theme="1"/>
        <rFont val="Calibri"/>
        <family val="2"/>
        <scheme val="minor"/>
      </rPr>
      <t xml:space="preserve"> .</t>
    </r>
  </si>
  <si>
    <t>Total sales of Notenbook.</t>
  </si>
  <si>
    <t>Total sale of pencil.</t>
  </si>
  <si>
    <t>Total sale of Marker.</t>
  </si>
  <si>
    <r>
      <t>T</t>
    </r>
    <r>
      <rPr>
        <b/>
        <sz val="11"/>
        <color theme="1"/>
        <rFont val="Calibri"/>
        <family val="2"/>
        <scheme val="minor"/>
      </rPr>
      <t>otal sale of pens.</t>
    </r>
  </si>
  <si>
    <r>
      <t>T</t>
    </r>
    <r>
      <rPr>
        <b/>
        <sz val="11"/>
        <color theme="1"/>
        <rFont val="Calibri"/>
        <family val="2"/>
        <scheme val="minor"/>
      </rPr>
      <t>otal sale of Eraser .</t>
    </r>
  </si>
  <si>
    <t>Qestion.7</t>
  </si>
  <si>
    <t>OrderDate</t>
  </si>
  <si>
    <t>Daily sales Trend</t>
  </si>
  <si>
    <t>Question no.8</t>
  </si>
  <si>
    <t xml:space="preserve">Question no .2 </t>
  </si>
  <si>
    <t xml:space="preserve">bicycle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</si>
</sst>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  <xf numFmtId="0" fontId="2" fillId="0" borderId="0" xfId="0" applyFont="1"/>
    <xf numFmtId="0" fontId="3" fillId="0" borderId="2" xfId="0" applyFont="1" applyBorder="1" applyAlignment="1">
      <alignment wrapText="1"/>
    </xf>
    <xf numFmtId="0" fontId="4" fillId="0" borderId="2" xfId="0" applyFont="1" applyBorder="1" applyAlignment="1">
      <alignment horizontal="right" wrapText="1"/>
    </xf>
    <xf numFmtId="0" fontId="4" fillId="0" borderId="2" xfId="0" applyFont="1" applyBorder="1" applyAlignment="1">
      <alignment wrapText="1"/>
    </xf>
    <xf numFmtId="14" fontId="4" fillId="0" borderId="2" xfId="0" applyNumberFormat="1" applyFont="1" applyBorder="1" applyAlignment="1">
      <alignment wrapText="1"/>
    </xf>
    <xf numFmtId="14" fontId="4" fillId="0" borderId="3" xfId="0" applyNumberFormat="1" applyFont="1" applyBorder="1" applyAlignment="1">
      <alignment wrapText="1"/>
    </xf>
    <xf numFmtId="14" fontId="4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14" fontId="4" fillId="0" borderId="0" xfId="0" applyNumberFormat="1" applyFont="1" applyAlignment="1">
      <alignment horizontal="right" wrapText="1"/>
    </xf>
    <xf numFmtId="0" fontId="3" fillId="0" borderId="4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3" fillId="0" borderId="1" xfId="0" applyFont="1" applyBorder="1" applyAlignment="1">
      <alignment wrapText="1"/>
    </xf>
    <xf numFmtId="14" fontId="4" fillId="0" borderId="1" xfId="0" applyNumberFormat="1" applyFont="1" applyBorder="1" applyAlignment="1">
      <alignment horizontal="right" wrapText="1"/>
    </xf>
    <xf numFmtId="0" fontId="5" fillId="0" borderId="5" xfId="0" applyFont="1" applyBorder="1" applyAlignment="1">
      <alignment wrapText="1"/>
    </xf>
    <xf numFmtId="3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products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7.8025371828521428E-2"/>
          <c:y val="0.14076443569553804"/>
          <c:w val="0.87753018372703417"/>
          <c:h val="0.60368802857976089"/>
        </c:manualLayout>
      </c:layout>
      <c:barChart>
        <c:barDir val="col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Sheet1!$M$21:$M$32</c:f>
              <c:numCache>
                <c:formatCode>General</c:formatCode>
                <c:ptCount val="12"/>
                <c:pt idx="0">
                  <c:v>0</c:v>
                </c:pt>
                <c:pt idx="1">
                  <c:v>7550</c:v>
                </c:pt>
                <c:pt idx="3">
                  <c:v>0</c:v>
                </c:pt>
                <c:pt idx="4">
                  <c:v>2180</c:v>
                </c:pt>
                <c:pt idx="5">
                  <c:v>0</c:v>
                </c:pt>
                <c:pt idx="6">
                  <c:v>1928</c:v>
                </c:pt>
                <c:pt idx="7">
                  <c:v>0</c:v>
                </c:pt>
                <c:pt idx="9">
                  <c:v>1235</c:v>
                </c:pt>
                <c:pt idx="10">
                  <c:v>0</c:v>
                </c:pt>
                <c:pt idx="11">
                  <c:v>3650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57-432E-AF18-EEA70256E44F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Sheet1!$N$21:$N$32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8A57-432E-AF18-EEA70256E44F}"/>
            </c:ext>
          </c:extLst>
        </c:ser>
        <c:ser>
          <c:idx val="2"/>
          <c:order val="2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Sheet1!$O$21:$O$32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2-8A57-432E-AF18-EEA70256E4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8592640"/>
        <c:axId val="328591680"/>
      </c:barChart>
      <c:catAx>
        <c:axId val="3285926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591680"/>
        <c:crosses val="autoZero"/>
        <c:auto val="1"/>
        <c:lblAlgn val="ctr"/>
        <c:lblOffset val="100"/>
        <c:noMultiLvlLbl val="0"/>
      </c:catAx>
      <c:valAx>
        <c:axId val="328591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592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358705161854769E-2"/>
          <c:y val="0.19486111111111112"/>
          <c:w val="0.88621062992125987"/>
          <c:h val="0.72088764946048411"/>
        </c:manualLayout>
      </c:layout>
      <c:lineChart>
        <c:grouping val="standard"/>
        <c:varyColors val="0"/>
        <c:ser>
          <c:idx val="0"/>
          <c:order val="0"/>
          <c:tx>
            <c:strRef>
              <c:f>Sheet1!$N$34</c:f>
              <c:strCache>
                <c:ptCount val="1"/>
                <c:pt idx="0">
                  <c:v>Daily sales Trend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Sheet1!$N$35:$N$90</c:f>
              <c:numCache>
                <c:formatCode>General</c:formatCode>
                <c:ptCount val="56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600</c:v>
                </c:pt>
                <c:pt idx="5">
                  <c:v>200</c:v>
                </c:pt>
                <c:pt idx="6">
                  <c:v>550</c:v>
                </c:pt>
                <c:pt idx="7">
                  <c:v>200</c:v>
                </c:pt>
                <c:pt idx="8">
                  <c:v>700</c:v>
                </c:pt>
                <c:pt idx="9">
                  <c:v>280</c:v>
                </c:pt>
                <c:pt idx="10">
                  <c:v>300</c:v>
                </c:pt>
                <c:pt idx="11">
                  <c:v>125</c:v>
                </c:pt>
                <c:pt idx="12">
                  <c:v>500</c:v>
                </c:pt>
                <c:pt idx="13">
                  <c:v>150</c:v>
                </c:pt>
                <c:pt idx="14">
                  <c:v>450</c:v>
                </c:pt>
                <c:pt idx="15">
                  <c:v>175</c:v>
                </c:pt>
                <c:pt idx="16">
                  <c:v>550</c:v>
                </c:pt>
                <c:pt idx="17">
                  <c:v>140</c:v>
                </c:pt>
                <c:pt idx="18">
                  <c:v>400</c:v>
                </c:pt>
                <c:pt idx="19">
                  <c:v>216</c:v>
                </c:pt>
                <c:pt idx="20">
                  <c:v>650</c:v>
                </c:pt>
                <c:pt idx="21">
                  <c:v>320</c:v>
                </c:pt>
                <c:pt idx="22">
                  <c:v>250</c:v>
                </c:pt>
                <c:pt idx="23">
                  <c:v>176</c:v>
                </c:pt>
                <c:pt idx="24">
                  <c:v>850</c:v>
                </c:pt>
                <c:pt idx="25">
                  <c:v>190</c:v>
                </c:pt>
                <c:pt idx="26">
                  <c:v>375</c:v>
                </c:pt>
                <c:pt idx="27">
                  <c:v>140</c:v>
                </c:pt>
                <c:pt idx="28">
                  <c:v>800</c:v>
                </c:pt>
                <c:pt idx="29">
                  <c:v>270</c:v>
                </c:pt>
                <c:pt idx="30">
                  <c:v>525</c:v>
                </c:pt>
                <c:pt idx="31">
                  <c:v>208</c:v>
                </c:pt>
                <c:pt idx="32">
                  <c:v>700</c:v>
                </c:pt>
                <c:pt idx="33">
                  <c:v>200</c:v>
                </c:pt>
                <c:pt idx="34">
                  <c:v>425</c:v>
                </c:pt>
                <c:pt idx="35">
                  <c:v>256</c:v>
                </c:pt>
                <c:pt idx="36">
                  <c:v>600</c:v>
                </c:pt>
                <c:pt idx="37">
                  <c:v>250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6E-405D-957C-0AA2A20D06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8653600"/>
        <c:axId val="328657920"/>
      </c:lineChart>
      <c:catAx>
        <c:axId val="3286536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657920"/>
        <c:crosses val="autoZero"/>
        <c:auto val="1"/>
        <c:lblAlgn val="ctr"/>
        <c:lblOffset val="100"/>
        <c:noMultiLvlLbl val="0"/>
      </c:catAx>
      <c:valAx>
        <c:axId val="32865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653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15240</xdr:colOff>
      <xdr:row>21</xdr:row>
      <xdr:rowOff>320040</xdr:rowOff>
    </xdr:from>
    <xdr:to>
      <xdr:col>21</xdr:col>
      <xdr:colOff>320040</xdr:colOff>
      <xdr:row>30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59EED4-0653-49E7-90C2-E4CF2B51F2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30480</xdr:colOff>
      <xdr:row>33</xdr:row>
      <xdr:rowOff>205740</xdr:rowOff>
    </xdr:from>
    <xdr:to>
      <xdr:col>23</xdr:col>
      <xdr:colOff>335280</xdr:colOff>
      <xdr:row>40</xdr:row>
      <xdr:rowOff>335280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E2B2E20-C0C3-4A39-969C-89FDD30CD7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03CE1-53E3-44B0-9A7C-AF6696432346}">
  <dimension ref="A1:N97"/>
  <sheetViews>
    <sheetView tabSelected="1" workbookViewId="0">
      <selection activeCell="E4" sqref="E4"/>
    </sheetView>
  </sheetViews>
  <sheetFormatPr defaultRowHeight="14.4" x14ac:dyDescent="0.3"/>
  <cols>
    <col min="1" max="1" width="15.109375" customWidth="1"/>
    <col min="2" max="2" width="13.21875" customWidth="1"/>
    <col min="5" max="5" width="18.77734375" customWidth="1"/>
    <col min="8" max="8" width="10.33203125" bestFit="1" customWidth="1"/>
    <col min="13" max="13" width="12.33203125" customWidth="1"/>
    <col min="14" max="14" width="15.6640625" customWidth="1"/>
  </cols>
  <sheetData>
    <row r="1" spans="1:6" ht="28.2" customHeight="1" x14ac:dyDescent="0.3"/>
    <row r="2" spans="1:6" x14ac:dyDescent="0.3">
      <c r="A2" s="1" t="s">
        <v>93</v>
      </c>
      <c r="B2" s="2" t="s">
        <v>1</v>
      </c>
      <c r="C2" s="2" t="s">
        <v>3</v>
      </c>
      <c r="D2" s="1"/>
    </row>
    <row r="3" spans="1:6" x14ac:dyDescent="0.3">
      <c r="B3" s="3" t="s">
        <v>4</v>
      </c>
      <c r="C3" s="3">
        <v>500000</v>
      </c>
      <c r="E3" s="19">
        <v>510500</v>
      </c>
    </row>
    <row r="4" spans="1:6" x14ac:dyDescent="0.3">
      <c r="B4" s="3" t="s">
        <v>94</v>
      </c>
      <c r="C4" s="3">
        <v>10500</v>
      </c>
    </row>
    <row r="5" spans="1:6" x14ac:dyDescent="0.3">
      <c r="B5" s="3" t="s">
        <v>2</v>
      </c>
      <c r="C5" s="3">
        <v>25000</v>
      </c>
    </row>
    <row r="7" spans="1:6" x14ac:dyDescent="0.3">
      <c r="D7" t="s">
        <v>12</v>
      </c>
    </row>
    <row r="9" spans="1:6" x14ac:dyDescent="0.3">
      <c r="A9" t="s">
        <v>12</v>
      </c>
      <c r="B9" t="s">
        <v>5</v>
      </c>
    </row>
    <row r="11" spans="1:6" ht="15.6" x14ac:dyDescent="0.3">
      <c r="B11" s="4" t="s">
        <v>6</v>
      </c>
      <c r="C11" s="4" t="s">
        <v>7</v>
      </c>
      <c r="D11" s="4" t="s">
        <v>8</v>
      </c>
      <c r="F11" s="5"/>
    </row>
    <row r="12" spans="1:6" x14ac:dyDescent="0.3">
      <c r="B12" s="3" t="s">
        <v>9</v>
      </c>
      <c r="C12" s="3">
        <v>90</v>
      </c>
      <c r="D12" s="3">
        <v>1000</v>
      </c>
    </row>
    <row r="13" spans="1:6" x14ac:dyDescent="0.3">
      <c r="B13" s="3" t="s">
        <v>10</v>
      </c>
      <c r="C13" s="3">
        <v>150</v>
      </c>
      <c r="D13" s="3">
        <v>1200</v>
      </c>
      <c r="F13">
        <f>AVERAGEIFS(D13:D14,C13:C14,"&gt;100",C13:C14,"&lt;300")</f>
        <v>1350</v>
      </c>
    </row>
    <row r="14" spans="1:6" x14ac:dyDescent="0.3">
      <c r="B14" s="3" t="s">
        <v>11</v>
      </c>
      <c r="C14" s="3">
        <v>250</v>
      </c>
      <c r="D14" s="3">
        <v>1500</v>
      </c>
    </row>
    <row r="15" spans="1:6" x14ac:dyDescent="0.3">
      <c r="B15" s="3"/>
      <c r="C15" s="3"/>
      <c r="D15" s="3"/>
    </row>
    <row r="17" spans="1:13" ht="15" thickBot="1" x14ac:dyDescent="0.35">
      <c r="L17" t="s">
        <v>83</v>
      </c>
    </row>
    <row r="18" spans="1:13" ht="29.4" thickBot="1" x14ac:dyDescent="0.35">
      <c r="A18">
        <v>4</v>
      </c>
      <c r="B18" s="6" t="s">
        <v>13</v>
      </c>
      <c r="C18" s="6" t="s">
        <v>14</v>
      </c>
      <c r="D18" s="6" t="s">
        <v>15</v>
      </c>
      <c r="E18" s="6" t="s">
        <v>16</v>
      </c>
      <c r="F18" s="6" t="s">
        <v>17</v>
      </c>
      <c r="G18" s="6" t="s">
        <v>18</v>
      </c>
      <c r="H18" s="6" t="s">
        <v>78</v>
      </c>
      <c r="I18" s="14" t="s">
        <v>79</v>
      </c>
      <c r="L18" s="12" t="s">
        <v>0</v>
      </c>
      <c r="M18" t="s">
        <v>80</v>
      </c>
    </row>
    <row r="19" spans="1:13" ht="29.4" thickBot="1" x14ac:dyDescent="0.35">
      <c r="B19" s="7">
        <v>1001</v>
      </c>
      <c r="C19" s="8" t="s">
        <v>19</v>
      </c>
      <c r="D19" s="8" t="s">
        <v>20</v>
      </c>
      <c r="E19" s="8" t="s">
        <v>21</v>
      </c>
      <c r="F19" s="7">
        <v>10</v>
      </c>
      <c r="G19" s="7">
        <v>50</v>
      </c>
      <c r="H19" s="9">
        <v>45296</v>
      </c>
      <c r="I19">
        <v>500</v>
      </c>
      <c r="J19" s="12"/>
      <c r="L19" s="1" t="s">
        <v>82</v>
      </c>
    </row>
    <row r="20" spans="1:13" ht="29.4" thickBot="1" x14ac:dyDescent="0.35">
      <c r="B20" s="7">
        <v>1002</v>
      </c>
      <c r="C20" s="8" t="s">
        <v>22</v>
      </c>
      <c r="D20" s="8" t="s">
        <v>23</v>
      </c>
      <c r="E20" s="8" t="s">
        <v>24</v>
      </c>
      <c r="F20" s="7">
        <v>20</v>
      </c>
      <c r="G20" s="7">
        <v>10</v>
      </c>
      <c r="H20" s="9">
        <v>45297</v>
      </c>
      <c r="I20">
        <f t="shared" ref="I20:I51" si="0">F20*G20</f>
        <v>200</v>
      </c>
      <c r="J20" s="13"/>
      <c r="L20" t="s">
        <v>81</v>
      </c>
      <c r="M20">
        <f>SUMIFS(I19:I68,D19:D68,"North",E19:E68,"Notebook")</f>
        <v>2900</v>
      </c>
    </row>
    <row r="21" spans="1:13" ht="29.4" thickBot="1" x14ac:dyDescent="0.35">
      <c r="B21" s="7">
        <v>1003</v>
      </c>
      <c r="C21" s="8" t="s">
        <v>25</v>
      </c>
      <c r="D21" s="8" t="s">
        <v>26</v>
      </c>
      <c r="E21" s="8" t="s">
        <v>27</v>
      </c>
      <c r="F21" s="7">
        <v>15</v>
      </c>
      <c r="G21" s="7">
        <v>25</v>
      </c>
      <c r="H21" s="9">
        <v>45298</v>
      </c>
      <c r="I21">
        <f t="shared" si="0"/>
        <v>375</v>
      </c>
      <c r="J21" s="13"/>
      <c r="K21" s="1" t="s">
        <v>89</v>
      </c>
      <c r="M21" s="1" t="s">
        <v>84</v>
      </c>
    </row>
    <row r="22" spans="1:13" ht="29.4" thickBot="1" x14ac:dyDescent="0.35">
      <c r="B22" s="7">
        <v>1004</v>
      </c>
      <c r="C22" s="8" t="s">
        <v>28</v>
      </c>
      <c r="D22" s="8" t="s">
        <v>29</v>
      </c>
      <c r="E22" s="8" t="s">
        <v>21</v>
      </c>
      <c r="F22" s="7">
        <v>5</v>
      </c>
      <c r="G22" s="7">
        <v>50</v>
      </c>
      <c r="H22" s="9">
        <v>45299</v>
      </c>
      <c r="I22">
        <f t="shared" si="0"/>
        <v>250</v>
      </c>
      <c r="J22" s="13"/>
      <c r="M22">
        <f>SUMIF(E19:E68,"Notebook",I19:I68)</f>
        <v>7550</v>
      </c>
    </row>
    <row r="23" spans="1:13" ht="15" thickBot="1" x14ac:dyDescent="0.35">
      <c r="B23" s="7">
        <v>1005</v>
      </c>
      <c r="C23" s="8" t="s">
        <v>30</v>
      </c>
      <c r="D23" s="8" t="s">
        <v>20</v>
      </c>
      <c r="E23" s="8" t="s">
        <v>31</v>
      </c>
      <c r="F23" s="7">
        <v>30</v>
      </c>
      <c r="G23" s="7">
        <v>5</v>
      </c>
      <c r="H23" s="9">
        <v>45300</v>
      </c>
      <c r="I23">
        <f t="shared" si="0"/>
        <v>150</v>
      </c>
      <c r="J23" s="13"/>
    </row>
    <row r="24" spans="1:13" ht="29.4" thickBot="1" x14ac:dyDescent="0.35">
      <c r="B24" s="7">
        <v>1006</v>
      </c>
      <c r="C24" s="8" t="s">
        <v>32</v>
      </c>
      <c r="D24" s="8" t="s">
        <v>23</v>
      </c>
      <c r="E24" s="8" t="s">
        <v>21</v>
      </c>
      <c r="F24" s="7">
        <v>12</v>
      </c>
      <c r="G24" s="7">
        <v>50</v>
      </c>
      <c r="H24" s="9">
        <v>45301</v>
      </c>
      <c r="I24">
        <f t="shared" si="0"/>
        <v>600</v>
      </c>
      <c r="J24" s="13"/>
      <c r="M24" t="s">
        <v>87</v>
      </c>
    </row>
    <row r="25" spans="1:13" ht="29.4" thickBot="1" x14ac:dyDescent="0.35">
      <c r="B25" s="7">
        <v>1007</v>
      </c>
      <c r="C25" s="8" t="s">
        <v>33</v>
      </c>
      <c r="D25" s="8" t="s">
        <v>26</v>
      </c>
      <c r="E25" s="8" t="s">
        <v>34</v>
      </c>
      <c r="F25" s="7">
        <v>25</v>
      </c>
      <c r="G25" s="7">
        <v>8</v>
      </c>
      <c r="H25" s="9">
        <v>45302</v>
      </c>
      <c r="I25">
        <f t="shared" si="0"/>
        <v>200</v>
      </c>
      <c r="J25" s="13"/>
      <c r="M25">
        <f>SUMIF(E19:E68,"Pen",I19:I68)</f>
        <v>2180</v>
      </c>
    </row>
    <row r="26" spans="1:13" ht="29.4" thickBot="1" x14ac:dyDescent="0.35">
      <c r="B26" s="7">
        <v>1008</v>
      </c>
      <c r="C26" s="8" t="s">
        <v>35</v>
      </c>
      <c r="D26" s="8" t="s">
        <v>29</v>
      </c>
      <c r="E26" s="8" t="s">
        <v>24</v>
      </c>
      <c r="F26" s="7">
        <v>18</v>
      </c>
      <c r="G26" s="7">
        <v>10</v>
      </c>
      <c r="H26" s="9">
        <v>45303</v>
      </c>
      <c r="I26">
        <f t="shared" si="0"/>
        <v>180</v>
      </c>
      <c r="J26" s="13"/>
      <c r="M26" t="s">
        <v>88</v>
      </c>
    </row>
    <row r="27" spans="1:13" ht="29.4" thickBot="1" x14ac:dyDescent="0.35">
      <c r="B27" s="7">
        <v>1009</v>
      </c>
      <c r="C27" s="8" t="s">
        <v>36</v>
      </c>
      <c r="D27" s="8" t="s">
        <v>20</v>
      </c>
      <c r="E27" s="8" t="s">
        <v>27</v>
      </c>
      <c r="F27" s="7">
        <v>22</v>
      </c>
      <c r="G27" s="7">
        <v>25</v>
      </c>
      <c r="H27" s="9">
        <v>45304</v>
      </c>
      <c r="I27">
        <f t="shared" si="0"/>
        <v>550</v>
      </c>
      <c r="J27" s="13"/>
      <c r="M27">
        <f>SUMIF(E19:E68,"Eraser",I19:I68)</f>
        <v>1928</v>
      </c>
    </row>
    <row r="28" spans="1:13" ht="29.4" thickBot="1" x14ac:dyDescent="0.35">
      <c r="B28" s="7">
        <v>1010</v>
      </c>
      <c r="C28" s="8" t="s">
        <v>37</v>
      </c>
      <c r="D28" s="8" t="s">
        <v>23</v>
      </c>
      <c r="E28" s="8" t="s">
        <v>21</v>
      </c>
      <c r="F28" s="7">
        <v>8</v>
      </c>
      <c r="G28" s="7">
        <v>50</v>
      </c>
      <c r="H28" s="9">
        <v>45305</v>
      </c>
      <c r="I28">
        <f t="shared" si="0"/>
        <v>400</v>
      </c>
      <c r="J28" s="13"/>
      <c r="M28" s="1" t="s">
        <v>85</v>
      </c>
    </row>
    <row r="29" spans="1:13" ht="15" thickBot="1" x14ac:dyDescent="0.35">
      <c r="B29" s="7">
        <v>1011</v>
      </c>
      <c r="C29" s="8" t="s">
        <v>38</v>
      </c>
      <c r="D29" s="8" t="s">
        <v>26</v>
      </c>
      <c r="E29" s="8" t="s">
        <v>31</v>
      </c>
      <c r="F29" s="7">
        <v>40</v>
      </c>
      <c r="G29" s="7">
        <v>5</v>
      </c>
      <c r="H29" s="9">
        <v>45306</v>
      </c>
      <c r="I29">
        <f t="shared" si="0"/>
        <v>200</v>
      </c>
      <c r="J29" s="13"/>
    </row>
    <row r="30" spans="1:13" ht="29.4" thickBot="1" x14ac:dyDescent="0.35">
      <c r="B30" s="7">
        <v>1012</v>
      </c>
      <c r="C30" s="8" t="s">
        <v>39</v>
      </c>
      <c r="D30" s="8" t="s">
        <v>29</v>
      </c>
      <c r="E30" s="8" t="s">
        <v>34</v>
      </c>
      <c r="F30" s="7">
        <v>35</v>
      </c>
      <c r="G30" s="7">
        <v>8</v>
      </c>
      <c r="H30" s="9">
        <v>45307</v>
      </c>
      <c r="I30">
        <f t="shared" si="0"/>
        <v>280</v>
      </c>
      <c r="J30" s="13"/>
      <c r="M30">
        <f>SUMIF(E19:E68,"Pencil",I19:I68)</f>
        <v>1235</v>
      </c>
    </row>
    <row r="31" spans="1:13" ht="29.4" thickBot="1" x14ac:dyDescent="0.35">
      <c r="B31" s="7">
        <v>1013</v>
      </c>
      <c r="C31" s="8" t="s">
        <v>40</v>
      </c>
      <c r="D31" s="8" t="s">
        <v>20</v>
      </c>
      <c r="E31" s="8" t="s">
        <v>21</v>
      </c>
      <c r="F31" s="7">
        <v>14</v>
      </c>
      <c r="G31" s="7">
        <v>50</v>
      </c>
      <c r="H31" s="9">
        <v>45308</v>
      </c>
      <c r="I31">
        <f t="shared" si="0"/>
        <v>700</v>
      </c>
      <c r="J31" s="13"/>
      <c r="M31" t="s">
        <v>86</v>
      </c>
    </row>
    <row r="32" spans="1:13" ht="29.4" thickBot="1" x14ac:dyDescent="0.35">
      <c r="B32" s="7">
        <v>1014</v>
      </c>
      <c r="C32" s="8" t="s">
        <v>41</v>
      </c>
      <c r="D32" s="8" t="s">
        <v>23</v>
      </c>
      <c r="E32" s="8" t="s">
        <v>24</v>
      </c>
      <c r="F32" s="7">
        <v>28</v>
      </c>
      <c r="G32" s="7">
        <v>10</v>
      </c>
      <c r="H32" s="9">
        <v>45309</v>
      </c>
      <c r="I32">
        <f t="shared" si="0"/>
        <v>280</v>
      </c>
      <c r="J32" s="13"/>
      <c r="M32">
        <f>SUMIF(E19:E68,"Marker",I19:I68)</f>
        <v>3650</v>
      </c>
    </row>
    <row r="33" spans="2:14" ht="29.4" thickBot="1" x14ac:dyDescent="0.35">
      <c r="B33" s="7">
        <v>1015</v>
      </c>
      <c r="C33" s="8" t="s">
        <v>42</v>
      </c>
      <c r="D33" s="8" t="s">
        <v>26</v>
      </c>
      <c r="E33" s="8" t="s">
        <v>27</v>
      </c>
      <c r="F33" s="7">
        <v>12</v>
      </c>
      <c r="G33" s="7">
        <v>25</v>
      </c>
      <c r="H33" s="9">
        <v>45310</v>
      </c>
      <c r="I33">
        <f t="shared" si="0"/>
        <v>300</v>
      </c>
      <c r="J33" s="13"/>
    </row>
    <row r="34" spans="2:14" ht="29.4" thickBot="1" x14ac:dyDescent="0.35">
      <c r="B34" s="7">
        <v>1016</v>
      </c>
      <c r="C34" s="8" t="s">
        <v>43</v>
      </c>
      <c r="D34" s="8" t="s">
        <v>29</v>
      </c>
      <c r="E34" s="8" t="s">
        <v>31</v>
      </c>
      <c r="F34" s="7">
        <v>25</v>
      </c>
      <c r="G34" s="7">
        <v>5</v>
      </c>
      <c r="H34" s="9">
        <v>45311</v>
      </c>
      <c r="I34">
        <f t="shared" si="0"/>
        <v>125</v>
      </c>
      <c r="J34" s="13"/>
      <c r="K34" s="1" t="s">
        <v>92</v>
      </c>
      <c r="M34" s="16" t="s">
        <v>90</v>
      </c>
      <c r="N34" s="2" t="s">
        <v>91</v>
      </c>
    </row>
    <row r="35" spans="2:14" ht="29.4" thickBot="1" x14ac:dyDescent="0.35">
      <c r="B35" s="7">
        <v>1017</v>
      </c>
      <c r="C35" s="8" t="s">
        <v>44</v>
      </c>
      <c r="D35" s="8" t="s">
        <v>20</v>
      </c>
      <c r="E35" s="8" t="s">
        <v>34</v>
      </c>
      <c r="F35" s="7">
        <v>20</v>
      </c>
      <c r="G35" s="7">
        <v>8</v>
      </c>
      <c r="H35" s="9">
        <v>45312</v>
      </c>
      <c r="I35">
        <f t="shared" si="0"/>
        <v>160</v>
      </c>
      <c r="J35" s="13"/>
      <c r="M35" s="17">
        <v>45296</v>
      </c>
      <c r="N35" s="3">
        <f t="shared" ref="N35:N66" si="1">SUMIF($H$19:$H$68,M35,$I$19:$I$68)</f>
        <v>500</v>
      </c>
    </row>
    <row r="36" spans="2:14" ht="29.4" thickBot="1" x14ac:dyDescent="0.35">
      <c r="B36" s="7">
        <v>1018</v>
      </c>
      <c r="C36" s="8" t="s">
        <v>45</v>
      </c>
      <c r="D36" s="8" t="s">
        <v>23</v>
      </c>
      <c r="E36" s="8" t="s">
        <v>21</v>
      </c>
      <c r="F36" s="7">
        <v>10</v>
      </c>
      <c r="G36" s="7">
        <v>50</v>
      </c>
      <c r="H36" s="9">
        <v>45313</v>
      </c>
      <c r="I36">
        <f t="shared" si="0"/>
        <v>500</v>
      </c>
      <c r="J36" s="13"/>
      <c r="M36" s="17">
        <v>45297</v>
      </c>
      <c r="N36" s="3">
        <f t="shared" si="1"/>
        <v>200</v>
      </c>
    </row>
    <row r="37" spans="2:14" ht="29.4" thickBot="1" x14ac:dyDescent="0.35">
      <c r="B37" s="7">
        <v>1019</v>
      </c>
      <c r="C37" s="8" t="s">
        <v>46</v>
      </c>
      <c r="D37" s="8" t="s">
        <v>26</v>
      </c>
      <c r="E37" s="8" t="s">
        <v>24</v>
      </c>
      <c r="F37" s="7">
        <v>15</v>
      </c>
      <c r="G37" s="7">
        <v>10</v>
      </c>
      <c r="H37" s="9">
        <v>45314</v>
      </c>
      <c r="I37">
        <f t="shared" si="0"/>
        <v>150</v>
      </c>
      <c r="J37" s="13"/>
      <c r="M37" s="17">
        <v>45298</v>
      </c>
      <c r="N37" s="3">
        <f t="shared" si="1"/>
        <v>375</v>
      </c>
    </row>
    <row r="38" spans="2:14" ht="29.4" thickBot="1" x14ac:dyDescent="0.35">
      <c r="B38" s="7">
        <v>1020</v>
      </c>
      <c r="C38" s="8" t="s">
        <v>47</v>
      </c>
      <c r="D38" s="8" t="s">
        <v>29</v>
      </c>
      <c r="E38" s="8" t="s">
        <v>27</v>
      </c>
      <c r="F38" s="7">
        <v>18</v>
      </c>
      <c r="G38" s="7">
        <v>25</v>
      </c>
      <c r="H38" s="9">
        <v>45315</v>
      </c>
      <c r="I38">
        <f t="shared" si="0"/>
        <v>450</v>
      </c>
      <c r="J38" s="13"/>
      <c r="M38" s="17">
        <v>45299</v>
      </c>
      <c r="N38" s="3">
        <f t="shared" si="1"/>
        <v>250</v>
      </c>
    </row>
    <row r="39" spans="2:14" ht="29.4" thickBot="1" x14ac:dyDescent="0.35">
      <c r="B39" s="7">
        <v>1021</v>
      </c>
      <c r="C39" s="8" t="s">
        <v>48</v>
      </c>
      <c r="D39" s="8" t="s">
        <v>20</v>
      </c>
      <c r="E39" s="8" t="s">
        <v>21</v>
      </c>
      <c r="F39" s="7">
        <v>9</v>
      </c>
      <c r="G39" s="7">
        <v>50</v>
      </c>
      <c r="H39" s="9">
        <v>45316</v>
      </c>
      <c r="I39">
        <f t="shared" si="0"/>
        <v>450</v>
      </c>
      <c r="J39" s="13"/>
      <c r="M39" s="17">
        <v>45301</v>
      </c>
      <c r="N39" s="3">
        <f t="shared" si="1"/>
        <v>600</v>
      </c>
    </row>
    <row r="40" spans="2:14" ht="29.4" thickBot="1" x14ac:dyDescent="0.35">
      <c r="B40" s="7">
        <v>1022</v>
      </c>
      <c r="C40" s="8" t="s">
        <v>49</v>
      </c>
      <c r="D40" s="8" t="s">
        <v>23</v>
      </c>
      <c r="E40" s="8" t="s">
        <v>31</v>
      </c>
      <c r="F40" s="7">
        <v>35</v>
      </c>
      <c r="G40" s="7">
        <v>5</v>
      </c>
      <c r="H40" s="9">
        <v>45317</v>
      </c>
      <c r="I40">
        <f t="shared" si="0"/>
        <v>175</v>
      </c>
      <c r="J40" s="13"/>
      <c r="M40" s="17">
        <v>45302</v>
      </c>
      <c r="N40" s="3">
        <f t="shared" si="1"/>
        <v>200</v>
      </c>
    </row>
    <row r="41" spans="2:14" ht="29.4" thickBot="1" x14ac:dyDescent="0.35">
      <c r="B41" s="7">
        <v>1023</v>
      </c>
      <c r="C41" s="8" t="s">
        <v>50</v>
      </c>
      <c r="D41" s="8" t="s">
        <v>26</v>
      </c>
      <c r="E41" s="8" t="s">
        <v>34</v>
      </c>
      <c r="F41" s="7">
        <v>30</v>
      </c>
      <c r="G41" s="7">
        <v>8</v>
      </c>
      <c r="H41" s="9">
        <v>45318</v>
      </c>
      <c r="I41">
        <f t="shared" si="0"/>
        <v>240</v>
      </c>
      <c r="J41" s="13"/>
      <c r="M41" s="17">
        <v>45304</v>
      </c>
      <c r="N41" s="3">
        <f t="shared" si="1"/>
        <v>550</v>
      </c>
    </row>
    <row r="42" spans="2:14" ht="29.4" thickBot="1" x14ac:dyDescent="0.35">
      <c r="B42" s="7">
        <v>1024</v>
      </c>
      <c r="C42" s="8" t="s">
        <v>51</v>
      </c>
      <c r="D42" s="8" t="s">
        <v>29</v>
      </c>
      <c r="E42" s="8" t="s">
        <v>21</v>
      </c>
      <c r="F42" s="7">
        <v>11</v>
      </c>
      <c r="G42" s="7">
        <v>50</v>
      </c>
      <c r="H42" s="9">
        <v>45319</v>
      </c>
      <c r="I42">
        <f t="shared" si="0"/>
        <v>550</v>
      </c>
      <c r="J42" s="13"/>
      <c r="M42" s="17">
        <v>45306</v>
      </c>
      <c r="N42" s="3">
        <f t="shared" si="1"/>
        <v>200</v>
      </c>
    </row>
    <row r="43" spans="2:14" ht="29.4" thickBot="1" x14ac:dyDescent="0.35">
      <c r="B43" s="7">
        <v>1025</v>
      </c>
      <c r="C43" s="8" t="s">
        <v>52</v>
      </c>
      <c r="D43" s="8" t="s">
        <v>20</v>
      </c>
      <c r="E43" s="8" t="s">
        <v>24</v>
      </c>
      <c r="F43" s="7">
        <v>14</v>
      </c>
      <c r="G43" s="7">
        <v>10</v>
      </c>
      <c r="H43" s="9">
        <v>45320</v>
      </c>
      <c r="I43">
        <f t="shared" si="0"/>
        <v>140</v>
      </c>
      <c r="J43" s="13"/>
      <c r="M43" s="17">
        <v>45308</v>
      </c>
      <c r="N43" s="3">
        <f t="shared" si="1"/>
        <v>700</v>
      </c>
    </row>
    <row r="44" spans="2:14" ht="29.4" thickBot="1" x14ac:dyDescent="0.35">
      <c r="B44" s="7">
        <v>1026</v>
      </c>
      <c r="C44" s="8" t="s">
        <v>53</v>
      </c>
      <c r="D44" s="8" t="s">
        <v>23</v>
      </c>
      <c r="E44" s="8" t="s">
        <v>27</v>
      </c>
      <c r="F44" s="7">
        <v>16</v>
      </c>
      <c r="G44" s="7">
        <v>25</v>
      </c>
      <c r="H44" s="9">
        <v>45321</v>
      </c>
      <c r="I44">
        <f t="shared" si="0"/>
        <v>400</v>
      </c>
      <c r="J44" s="13"/>
      <c r="M44" s="17">
        <v>45309</v>
      </c>
      <c r="N44" s="3">
        <f t="shared" si="1"/>
        <v>280</v>
      </c>
    </row>
    <row r="45" spans="2:14" ht="29.4" thickBot="1" x14ac:dyDescent="0.35">
      <c r="B45" s="7">
        <v>1027</v>
      </c>
      <c r="C45" s="8" t="s">
        <v>54</v>
      </c>
      <c r="D45" s="8" t="s">
        <v>26</v>
      </c>
      <c r="E45" s="8" t="s">
        <v>31</v>
      </c>
      <c r="F45" s="7">
        <v>22</v>
      </c>
      <c r="G45" s="7">
        <v>5</v>
      </c>
      <c r="H45" s="9">
        <v>45322</v>
      </c>
      <c r="I45">
        <f t="shared" si="0"/>
        <v>110</v>
      </c>
      <c r="J45" s="13"/>
      <c r="M45" s="17">
        <v>45310</v>
      </c>
      <c r="N45" s="3">
        <f t="shared" si="1"/>
        <v>300</v>
      </c>
    </row>
    <row r="46" spans="2:14" ht="29.4" thickBot="1" x14ac:dyDescent="0.35">
      <c r="B46" s="7">
        <v>1028</v>
      </c>
      <c r="C46" s="8" t="s">
        <v>55</v>
      </c>
      <c r="D46" s="8" t="s">
        <v>29</v>
      </c>
      <c r="E46" s="8" t="s">
        <v>34</v>
      </c>
      <c r="F46" s="7">
        <v>27</v>
      </c>
      <c r="G46" s="7">
        <v>8</v>
      </c>
      <c r="H46" s="9">
        <v>45323</v>
      </c>
      <c r="I46">
        <f t="shared" si="0"/>
        <v>216</v>
      </c>
      <c r="J46" s="13"/>
      <c r="M46" s="17">
        <v>45311</v>
      </c>
      <c r="N46" s="3">
        <f t="shared" si="1"/>
        <v>125</v>
      </c>
    </row>
    <row r="47" spans="2:14" ht="29.4" thickBot="1" x14ac:dyDescent="0.35">
      <c r="B47" s="7">
        <v>1029</v>
      </c>
      <c r="C47" s="8" t="s">
        <v>56</v>
      </c>
      <c r="D47" s="8" t="s">
        <v>20</v>
      </c>
      <c r="E47" s="8" t="s">
        <v>21</v>
      </c>
      <c r="F47" s="7">
        <v>13</v>
      </c>
      <c r="G47" s="7">
        <v>50</v>
      </c>
      <c r="H47" s="9">
        <v>45324</v>
      </c>
      <c r="I47">
        <f t="shared" si="0"/>
        <v>650</v>
      </c>
      <c r="J47" s="13"/>
      <c r="M47" s="17">
        <v>45313</v>
      </c>
      <c r="N47" s="3">
        <f t="shared" si="1"/>
        <v>500</v>
      </c>
    </row>
    <row r="48" spans="2:14" ht="29.4" thickBot="1" x14ac:dyDescent="0.35">
      <c r="B48" s="7">
        <v>1030</v>
      </c>
      <c r="C48" s="8" t="s">
        <v>57</v>
      </c>
      <c r="D48" s="8" t="s">
        <v>23</v>
      </c>
      <c r="E48" s="8" t="s">
        <v>24</v>
      </c>
      <c r="F48" s="7">
        <v>32</v>
      </c>
      <c r="G48" s="7">
        <v>10</v>
      </c>
      <c r="H48" s="9">
        <v>45325</v>
      </c>
      <c r="I48">
        <f t="shared" si="0"/>
        <v>320</v>
      </c>
      <c r="J48" s="13"/>
      <c r="M48" s="17">
        <v>45314</v>
      </c>
      <c r="N48" s="3">
        <f t="shared" si="1"/>
        <v>150</v>
      </c>
    </row>
    <row r="49" spans="2:14" ht="29.4" thickBot="1" x14ac:dyDescent="0.35">
      <c r="B49" s="7">
        <v>1031</v>
      </c>
      <c r="C49" s="8" t="s">
        <v>58</v>
      </c>
      <c r="D49" s="8" t="s">
        <v>26</v>
      </c>
      <c r="E49" s="8" t="s">
        <v>27</v>
      </c>
      <c r="F49" s="7">
        <v>10</v>
      </c>
      <c r="G49" s="7">
        <v>25</v>
      </c>
      <c r="H49" s="9">
        <v>45326</v>
      </c>
      <c r="I49">
        <f t="shared" si="0"/>
        <v>250</v>
      </c>
      <c r="J49" s="13"/>
      <c r="M49" s="17">
        <v>45315</v>
      </c>
      <c r="N49" s="3">
        <f t="shared" si="1"/>
        <v>450</v>
      </c>
    </row>
    <row r="50" spans="2:14" ht="15" thickBot="1" x14ac:dyDescent="0.35">
      <c r="B50" s="7">
        <v>1032</v>
      </c>
      <c r="C50" s="8" t="s">
        <v>59</v>
      </c>
      <c r="D50" s="8" t="s">
        <v>29</v>
      </c>
      <c r="E50" s="8" t="s">
        <v>31</v>
      </c>
      <c r="F50" s="7">
        <v>18</v>
      </c>
      <c r="G50" s="7">
        <v>5</v>
      </c>
      <c r="H50" s="9">
        <v>45327</v>
      </c>
      <c r="I50">
        <f t="shared" si="0"/>
        <v>90</v>
      </c>
      <c r="J50" s="13"/>
      <c r="M50" s="17">
        <v>45317</v>
      </c>
      <c r="N50" s="3">
        <f t="shared" si="1"/>
        <v>175</v>
      </c>
    </row>
    <row r="51" spans="2:14" ht="29.4" thickBot="1" x14ac:dyDescent="0.35">
      <c r="B51" s="7">
        <v>1033</v>
      </c>
      <c r="C51" s="8" t="s">
        <v>60</v>
      </c>
      <c r="D51" s="8" t="s">
        <v>20</v>
      </c>
      <c r="E51" s="8" t="s">
        <v>34</v>
      </c>
      <c r="F51" s="7">
        <v>22</v>
      </c>
      <c r="G51" s="7">
        <v>8</v>
      </c>
      <c r="H51" s="9">
        <v>45328</v>
      </c>
      <c r="I51">
        <f t="shared" si="0"/>
        <v>176</v>
      </c>
      <c r="J51" s="13"/>
      <c r="M51" s="17">
        <v>45319</v>
      </c>
      <c r="N51" s="3">
        <f t="shared" si="1"/>
        <v>550</v>
      </c>
    </row>
    <row r="52" spans="2:14" ht="29.4" thickBot="1" x14ac:dyDescent="0.35">
      <c r="B52" s="7">
        <v>1034</v>
      </c>
      <c r="C52" s="8" t="s">
        <v>61</v>
      </c>
      <c r="D52" s="8" t="s">
        <v>23</v>
      </c>
      <c r="E52" s="8" t="s">
        <v>21</v>
      </c>
      <c r="F52" s="7">
        <v>17</v>
      </c>
      <c r="G52" s="7">
        <v>50</v>
      </c>
      <c r="H52" s="9">
        <v>45329</v>
      </c>
      <c r="I52">
        <f t="shared" ref="I52:I68" si="2">F52*G52</f>
        <v>850</v>
      </c>
      <c r="J52" s="13"/>
      <c r="M52" s="17">
        <v>45320</v>
      </c>
      <c r="N52" s="3">
        <f t="shared" si="1"/>
        <v>140</v>
      </c>
    </row>
    <row r="53" spans="2:14" ht="15" thickBot="1" x14ac:dyDescent="0.35">
      <c r="B53" s="7">
        <v>1035</v>
      </c>
      <c r="C53" s="8" t="s">
        <v>62</v>
      </c>
      <c r="D53" s="8" t="s">
        <v>26</v>
      </c>
      <c r="E53" s="8" t="s">
        <v>24</v>
      </c>
      <c r="F53" s="7">
        <v>19</v>
      </c>
      <c r="G53" s="7">
        <v>10</v>
      </c>
      <c r="H53" s="9">
        <v>45330</v>
      </c>
      <c r="I53">
        <f t="shared" si="2"/>
        <v>190</v>
      </c>
      <c r="J53" s="13"/>
      <c r="M53" s="17">
        <v>45321</v>
      </c>
      <c r="N53" s="3">
        <f t="shared" si="1"/>
        <v>400</v>
      </c>
    </row>
    <row r="54" spans="2:14" ht="29.4" thickBot="1" x14ac:dyDescent="0.35">
      <c r="B54" s="7">
        <v>1036</v>
      </c>
      <c r="C54" s="8" t="s">
        <v>63</v>
      </c>
      <c r="D54" s="8" t="s">
        <v>29</v>
      </c>
      <c r="E54" s="8" t="s">
        <v>27</v>
      </c>
      <c r="F54" s="7">
        <v>15</v>
      </c>
      <c r="G54" s="7">
        <v>25</v>
      </c>
      <c r="H54" s="9">
        <v>45331</v>
      </c>
      <c r="I54">
        <f t="shared" si="2"/>
        <v>375</v>
      </c>
      <c r="J54" s="13"/>
      <c r="M54" s="17">
        <v>45323</v>
      </c>
      <c r="N54" s="3">
        <f t="shared" si="1"/>
        <v>216</v>
      </c>
    </row>
    <row r="55" spans="2:14" ht="15" thickBot="1" x14ac:dyDescent="0.35">
      <c r="B55" s="7">
        <v>1037</v>
      </c>
      <c r="C55" s="8" t="s">
        <v>64</v>
      </c>
      <c r="D55" s="8" t="s">
        <v>20</v>
      </c>
      <c r="E55" s="8" t="s">
        <v>31</v>
      </c>
      <c r="F55" s="7">
        <v>28</v>
      </c>
      <c r="G55" s="7">
        <v>5</v>
      </c>
      <c r="H55" s="9">
        <v>45332</v>
      </c>
      <c r="I55">
        <f t="shared" si="2"/>
        <v>140</v>
      </c>
      <c r="J55" s="13"/>
      <c r="M55" s="17">
        <v>45324</v>
      </c>
      <c r="N55" s="3">
        <f t="shared" si="1"/>
        <v>650</v>
      </c>
    </row>
    <row r="56" spans="2:14" ht="29.4" thickBot="1" x14ac:dyDescent="0.35">
      <c r="B56" s="7">
        <v>1038</v>
      </c>
      <c r="C56" s="8" t="s">
        <v>65</v>
      </c>
      <c r="D56" s="8" t="s">
        <v>23</v>
      </c>
      <c r="E56" s="8" t="s">
        <v>34</v>
      </c>
      <c r="F56" s="7">
        <v>24</v>
      </c>
      <c r="G56" s="7">
        <v>8</v>
      </c>
      <c r="H56" s="9">
        <v>45333</v>
      </c>
      <c r="I56">
        <f t="shared" si="2"/>
        <v>192</v>
      </c>
      <c r="J56" s="13"/>
      <c r="M56" s="17">
        <v>45325</v>
      </c>
      <c r="N56" s="3">
        <f t="shared" si="1"/>
        <v>320</v>
      </c>
    </row>
    <row r="57" spans="2:14" ht="29.4" thickBot="1" x14ac:dyDescent="0.35">
      <c r="B57" s="7">
        <v>1039</v>
      </c>
      <c r="C57" s="8" t="s">
        <v>66</v>
      </c>
      <c r="D57" s="8" t="s">
        <v>26</v>
      </c>
      <c r="E57" s="8" t="s">
        <v>21</v>
      </c>
      <c r="F57" s="7">
        <v>16</v>
      </c>
      <c r="G57" s="7">
        <v>50</v>
      </c>
      <c r="H57" s="9">
        <v>45334</v>
      </c>
      <c r="I57">
        <f t="shared" si="2"/>
        <v>800</v>
      </c>
      <c r="J57" s="13"/>
      <c r="M57" s="17">
        <v>45326</v>
      </c>
      <c r="N57" s="3">
        <f t="shared" si="1"/>
        <v>250</v>
      </c>
    </row>
    <row r="58" spans="2:14" ht="29.4" thickBot="1" x14ac:dyDescent="0.35">
      <c r="B58" s="7">
        <v>1040</v>
      </c>
      <c r="C58" s="8" t="s">
        <v>67</v>
      </c>
      <c r="D58" s="8" t="s">
        <v>29</v>
      </c>
      <c r="E58" s="8" t="s">
        <v>24</v>
      </c>
      <c r="F58" s="7">
        <v>27</v>
      </c>
      <c r="G58" s="7">
        <v>10</v>
      </c>
      <c r="H58" s="9">
        <v>45335</v>
      </c>
      <c r="I58">
        <f t="shared" si="2"/>
        <v>270</v>
      </c>
      <c r="J58" s="13"/>
      <c r="M58" s="17">
        <v>45328</v>
      </c>
      <c r="N58" s="3">
        <f t="shared" si="1"/>
        <v>176</v>
      </c>
    </row>
    <row r="59" spans="2:14" ht="29.4" thickBot="1" x14ac:dyDescent="0.35">
      <c r="B59" s="7">
        <v>1041</v>
      </c>
      <c r="C59" s="8" t="s">
        <v>68</v>
      </c>
      <c r="D59" s="8" t="s">
        <v>20</v>
      </c>
      <c r="E59" s="8" t="s">
        <v>27</v>
      </c>
      <c r="F59" s="7">
        <v>21</v>
      </c>
      <c r="G59" s="7">
        <v>25</v>
      </c>
      <c r="H59" s="9">
        <v>45336</v>
      </c>
      <c r="I59">
        <f t="shared" si="2"/>
        <v>525</v>
      </c>
      <c r="J59" s="13"/>
      <c r="M59" s="17">
        <v>45329</v>
      </c>
      <c r="N59" s="3">
        <f t="shared" si="1"/>
        <v>850</v>
      </c>
    </row>
    <row r="60" spans="2:14" ht="29.4" thickBot="1" x14ac:dyDescent="0.35">
      <c r="B60" s="7">
        <v>1042</v>
      </c>
      <c r="C60" s="8" t="s">
        <v>69</v>
      </c>
      <c r="D60" s="8" t="s">
        <v>23</v>
      </c>
      <c r="E60" s="8" t="s">
        <v>31</v>
      </c>
      <c r="F60" s="7">
        <v>30</v>
      </c>
      <c r="G60" s="7">
        <v>5</v>
      </c>
      <c r="H60" s="9">
        <v>45337</v>
      </c>
      <c r="I60">
        <f t="shared" si="2"/>
        <v>150</v>
      </c>
      <c r="J60" s="13"/>
      <c r="M60" s="17">
        <v>45330</v>
      </c>
      <c r="N60" s="3">
        <f t="shared" si="1"/>
        <v>190</v>
      </c>
    </row>
    <row r="61" spans="2:14" ht="29.4" thickBot="1" x14ac:dyDescent="0.35">
      <c r="B61" s="7">
        <v>1043</v>
      </c>
      <c r="C61" s="8" t="s">
        <v>70</v>
      </c>
      <c r="D61" s="8" t="s">
        <v>26</v>
      </c>
      <c r="E61" s="8" t="s">
        <v>34</v>
      </c>
      <c r="F61" s="7">
        <v>26</v>
      </c>
      <c r="G61" s="7">
        <v>8</v>
      </c>
      <c r="H61" s="9">
        <v>45338</v>
      </c>
      <c r="I61">
        <f t="shared" si="2"/>
        <v>208</v>
      </c>
      <c r="J61" s="13"/>
      <c r="M61" s="17">
        <v>45331</v>
      </c>
      <c r="N61" s="3">
        <f t="shared" si="1"/>
        <v>375</v>
      </c>
    </row>
    <row r="62" spans="2:14" ht="29.4" thickBot="1" x14ac:dyDescent="0.35">
      <c r="B62" s="7">
        <v>1044</v>
      </c>
      <c r="C62" s="8" t="s">
        <v>71</v>
      </c>
      <c r="D62" s="8" t="s">
        <v>29</v>
      </c>
      <c r="E62" s="8" t="s">
        <v>21</v>
      </c>
      <c r="F62" s="7">
        <v>14</v>
      </c>
      <c r="G62" s="7">
        <v>50</v>
      </c>
      <c r="H62" s="9">
        <v>45339</v>
      </c>
      <c r="I62">
        <f t="shared" si="2"/>
        <v>700</v>
      </c>
      <c r="J62" s="13"/>
      <c r="M62" s="17">
        <v>45332</v>
      </c>
      <c r="N62" s="3">
        <f t="shared" si="1"/>
        <v>140</v>
      </c>
    </row>
    <row r="63" spans="2:14" ht="29.4" thickBot="1" x14ac:dyDescent="0.35">
      <c r="B63" s="7">
        <v>1045</v>
      </c>
      <c r="C63" s="8" t="s">
        <v>72</v>
      </c>
      <c r="D63" s="8" t="s">
        <v>20</v>
      </c>
      <c r="E63" s="8" t="s">
        <v>24</v>
      </c>
      <c r="F63" s="7">
        <v>20</v>
      </c>
      <c r="G63" s="7">
        <v>10</v>
      </c>
      <c r="H63" s="9">
        <v>45340</v>
      </c>
      <c r="I63">
        <f t="shared" si="2"/>
        <v>200</v>
      </c>
      <c r="J63" s="13"/>
      <c r="M63" s="17">
        <v>45334</v>
      </c>
      <c r="N63" s="3">
        <f t="shared" si="1"/>
        <v>800</v>
      </c>
    </row>
    <row r="64" spans="2:14" ht="29.4" thickBot="1" x14ac:dyDescent="0.35">
      <c r="B64" s="7">
        <v>1046</v>
      </c>
      <c r="C64" s="8" t="s">
        <v>73</v>
      </c>
      <c r="D64" s="8" t="s">
        <v>23</v>
      </c>
      <c r="E64" s="8" t="s">
        <v>27</v>
      </c>
      <c r="F64" s="7">
        <v>17</v>
      </c>
      <c r="G64" s="7">
        <v>25</v>
      </c>
      <c r="H64" s="9">
        <v>45341</v>
      </c>
      <c r="I64">
        <f t="shared" si="2"/>
        <v>425</v>
      </c>
      <c r="J64" s="13"/>
      <c r="M64" s="17">
        <v>45335</v>
      </c>
      <c r="N64" s="3">
        <f t="shared" si="1"/>
        <v>270</v>
      </c>
    </row>
    <row r="65" spans="2:14" ht="29.4" thickBot="1" x14ac:dyDescent="0.35">
      <c r="B65" s="7">
        <v>1047</v>
      </c>
      <c r="C65" s="8" t="s">
        <v>74</v>
      </c>
      <c r="D65" s="8" t="s">
        <v>26</v>
      </c>
      <c r="E65" s="8" t="s">
        <v>31</v>
      </c>
      <c r="F65" s="7">
        <v>19</v>
      </c>
      <c r="G65" s="7">
        <v>5</v>
      </c>
      <c r="H65" s="9">
        <v>45342</v>
      </c>
      <c r="I65">
        <f t="shared" si="2"/>
        <v>95</v>
      </c>
      <c r="J65" s="13"/>
      <c r="M65" s="17">
        <v>45336</v>
      </c>
      <c r="N65" s="3">
        <f t="shared" si="1"/>
        <v>525</v>
      </c>
    </row>
    <row r="66" spans="2:14" ht="29.4" thickBot="1" x14ac:dyDescent="0.35">
      <c r="B66" s="7">
        <v>1048</v>
      </c>
      <c r="C66" s="8" t="s">
        <v>75</v>
      </c>
      <c r="D66" s="8" t="s">
        <v>29</v>
      </c>
      <c r="E66" s="8" t="s">
        <v>34</v>
      </c>
      <c r="F66" s="7">
        <v>32</v>
      </c>
      <c r="G66" s="7">
        <v>8</v>
      </c>
      <c r="H66" s="9">
        <v>45343</v>
      </c>
      <c r="I66">
        <f t="shared" si="2"/>
        <v>256</v>
      </c>
      <c r="J66" s="13"/>
      <c r="M66" s="17">
        <v>45338</v>
      </c>
      <c r="N66" s="3">
        <f t="shared" si="1"/>
        <v>208</v>
      </c>
    </row>
    <row r="67" spans="2:14" ht="29.4" thickBot="1" x14ac:dyDescent="0.35">
      <c r="B67" s="7">
        <v>1049</v>
      </c>
      <c r="C67" s="8" t="s">
        <v>76</v>
      </c>
      <c r="D67" s="8" t="s">
        <v>20</v>
      </c>
      <c r="E67" s="8" t="s">
        <v>21</v>
      </c>
      <c r="F67" s="7">
        <v>12</v>
      </c>
      <c r="G67" s="7">
        <v>50</v>
      </c>
      <c r="H67" s="9">
        <v>45344</v>
      </c>
      <c r="I67">
        <f t="shared" si="2"/>
        <v>600</v>
      </c>
      <c r="J67" s="13"/>
      <c r="M67" s="17">
        <v>45339</v>
      </c>
      <c r="N67" s="3">
        <f t="shared" ref="N67:N84" si="3">SUMIF($H$19:$H$68,M67,$I$19:$I$68)</f>
        <v>700</v>
      </c>
    </row>
    <row r="68" spans="2:14" ht="29.4" thickBot="1" x14ac:dyDescent="0.35">
      <c r="B68" s="7">
        <v>1050</v>
      </c>
      <c r="C68" s="8" t="s">
        <v>77</v>
      </c>
      <c r="D68" s="8" t="s">
        <v>23</v>
      </c>
      <c r="E68" s="8" t="s">
        <v>24</v>
      </c>
      <c r="F68" s="7">
        <v>25</v>
      </c>
      <c r="G68" s="7">
        <v>10</v>
      </c>
      <c r="H68" s="10">
        <v>45345</v>
      </c>
      <c r="I68">
        <f t="shared" si="2"/>
        <v>250</v>
      </c>
      <c r="J68" s="13"/>
      <c r="M68" s="17">
        <v>45340</v>
      </c>
      <c r="N68" s="3">
        <f t="shared" si="3"/>
        <v>200</v>
      </c>
    </row>
    <row r="69" spans="2:14" x14ac:dyDescent="0.3">
      <c r="H69" s="11"/>
      <c r="J69" s="13"/>
      <c r="M69" s="17">
        <v>45341</v>
      </c>
      <c r="N69" s="3">
        <f t="shared" si="3"/>
        <v>425</v>
      </c>
    </row>
    <row r="70" spans="2:14" x14ac:dyDescent="0.3">
      <c r="H70" s="11"/>
      <c r="M70" s="17">
        <v>45343</v>
      </c>
      <c r="N70" s="3">
        <f t="shared" si="3"/>
        <v>256</v>
      </c>
    </row>
    <row r="71" spans="2:14" x14ac:dyDescent="0.3">
      <c r="H71" s="11"/>
      <c r="M71" s="17">
        <v>45344</v>
      </c>
      <c r="N71" s="3">
        <f t="shared" si="3"/>
        <v>600</v>
      </c>
    </row>
    <row r="72" spans="2:14" x14ac:dyDescent="0.3">
      <c r="H72" s="11"/>
      <c r="M72" s="17">
        <v>45345</v>
      </c>
      <c r="N72" s="3">
        <f t="shared" si="3"/>
        <v>250</v>
      </c>
    </row>
    <row r="73" spans="2:14" x14ac:dyDescent="0.3">
      <c r="H73" s="11"/>
      <c r="M73" s="17">
        <v>45347</v>
      </c>
      <c r="N73" s="3">
        <f t="shared" si="3"/>
        <v>0</v>
      </c>
    </row>
    <row r="74" spans="2:14" x14ac:dyDescent="0.3">
      <c r="M74" s="17">
        <v>45348</v>
      </c>
      <c r="N74" s="3">
        <f t="shared" si="3"/>
        <v>0</v>
      </c>
    </row>
    <row r="75" spans="2:14" x14ac:dyDescent="0.3">
      <c r="M75" s="17">
        <v>45349</v>
      </c>
      <c r="N75" s="3">
        <f t="shared" si="3"/>
        <v>0</v>
      </c>
    </row>
    <row r="76" spans="2:14" x14ac:dyDescent="0.3">
      <c r="M76" s="17">
        <v>45350</v>
      </c>
      <c r="N76" s="3">
        <f t="shared" si="3"/>
        <v>0</v>
      </c>
    </row>
    <row r="77" spans="2:14" x14ac:dyDescent="0.3">
      <c r="M77" s="17">
        <v>45352</v>
      </c>
      <c r="N77" s="3">
        <f t="shared" si="3"/>
        <v>0</v>
      </c>
    </row>
    <row r="78" spans="2:14" x14ac:dyDescent="0.3">
      <c r="M78" s="17">
        <v>45353</v>
      </c>
      <c r="N78" s="3">
        <f t="shared" si="3"/>
        <v>0</v>
      </c>
    </row>
    <row r="79" spans="2:14" x14ac:dyDescent="0.3">
      <c r="M79" s="17">
        <v>45354</v>
      </c>
      <c r="N79" s="3">
        <f t="shared" si="3"/>
        <v>0</v>
      </c>
    </row>
    <row r="80" spans="2:14" x14ac:dyDescent="0.3">
      <c r="M80" s="17">
        <v>45355</v>
      </c>
      <c r="N80" s="3">
        <f t="shared" si="3"/>
        <v>0</v>
      </c>
    </row>
    <row r="81" spans="13:14" x14ac:dyDescent="0.3">
      <c r="M81" s="17">
        <v>45356</v>
      </c>
      <c r="N81" s="3">
        <f t="shared" si="3"/>
        <v>0</v>
      </c>
    </row>
    <row r="82" spans="13:14" x14ac:dyDescent="0.3">
      <c r="M82" s="17">
        <v>45357</v>
      </c>
      <c r="N82" s="3">
        <f t="shared" si="3"/>
        <v>0</v>
      </c>
    </row>
    <row r="83" spans="13:14" x14ac:dyDescent="0.3">
      <c r="M83" s="17">
        <v>45358</v>
      </c>
      <c r="N83" s="3">
        <f t="shared" si="3"/>
        <v>0</v>
      </c>
    </row>
    <row r="84" spans="13:14" x14ac:dyDescent="0.3">
      <c r="M84" s="17">
        <v>45359</v>
      </c>
      <c r="N84" s="3">
        <f t="shared" si="3"/>
        <v>0</v>
      </c>
    </row>
    <row r="85" spans="13:14" ht="15" thickBot="1" x14ac:dyDescent="0.35">
      <c r="M85" s="18"/>
    </row>
    <row r="93" spans="13:14" ht="15" thickBot="1" x14ac:dyDescent="0.35"/>
    <row r="94" spans="13:14" ht="15" thickBot="1" x14ac:dyDescent="0.35">
      <c r="M94" s="15"/>
    </row>
    <row r="95" spans="13:14" ht="15" thickBot="1" x14ac:dyDescent="0.35">
      <c r="M95" s="15"/>
    </row>
    <row r="96" spans="13:14" ht="15" thickBot="1" x14ac:dyDescent="0.35">
      <c r="M96" s="15"/>
    </row>
    <row r="97" spans="13:13" ht="15" thickBot="1" x14ac:dyDescent="0.35">
      <c r="M97" s="15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vandana sharma</dc:creator>
  <cp:lastModifiedBy>vandana sharma</cp:lastModifiedBy>
  <dcterms:created xsi:type="dcterms:W3CDTF">2025-12-02T13:44:54Z</dcterms:created>
  <dcterms:modified xsi:type="dcterms:W3CDTF">2025-12-04T14:14:22Z</dcterms:modified>
</cp:coreProperties>
</file>